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度明细" sheetId="1" state="visible" r:id="rId1"/>
    <sheet xmlns:r="http://schemas.openxmlformats.org/officeDocument/2006/relationships" name="渠道汇总" sheetId="2" state="visible" r:id="rId2"/>
    <sheet xmlns:r="http://schemas.openxmlformats.org/officeDocument/2006/relationships" name="数据字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C0392B"/>
      <sz val="9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BE6"/>
      </patternFill>
    </fill>
    <fill>
      <patternFill patternType="solid">
        <fgColor rgb="00FFE9CC"/>
      </patternFill>
    </fill>
  </fills>
  <borders count="2">
    <border>
      <left/>
      <right/>
      <top/>
      <bottom/>
      <diagonal/>
    </border>
    <border>
      <left style="thin">
        <color rgb="00C9D4E8"/>
      </left>
      <right style="thin">
        <color rgb="00C9D4E8"/>
      </right>
      <top style="thin">
        <color rgb="00C9D4E8"/>
      </top>
      <bottom style="thin">
        <color rgb="00C9D4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4" customWidth="1" min="4" max="4"/>
    <col width="13" customWidth="1" min="5" max="5"/>
    <col width="13" customWidth="1" min="6" max="6"/>
  </cols>
  <sheetData>
    <row r="1" ht="30" customHeight="1">
      <c r="A1" s="1" t="inlineStr">
        <is>
          <t>青屿茶研 市场部 · 2026年7月 渠道曝光与线索数据（周度明细）</t>
        </is>
      </c>
    </row>
    <row r="2" ht="18" customHeight="1">
      <c r="A2" s="2" t="inlineStr">
        <is>
          <t>统计周期：2026年7月1日 至 2026年7月31日　｜　转化率 = 有效线索数量 ÷ 线索数量 × 100%</t>
        </is>
      </c>
    </row>
    <row r="3" ht="18" customHeight="1">
      <c r="A3" s="2" t="inlineStr">
        <is>
          <t>⚠️ 本项目中的品牌、人员、部门、活动、数据和文件均为虚构，仅用于教学演示，与任何真实企业无关。</t>
        </is>
      </c>
    </row>
    <row r="5" ht="26" customHeight="1">
      <c r="A5" s="3" t="inlineStr">
        <is>
          <t>渠道</t>
        </is>
      </c>
      <c r="B5" s="3" t="inlineStr">
        <is>
          <t>统计周</t>
        </is>
      </c>
      <c r="C5" s="3" t="inlineStr">
        <is>
          <t>日期范围</t>
        </is>
      </c>
      <c r="D5" s="3" t="inlineStr">
        <is>
          <t>曝光量</t>
        </is>
      </c>
      <c r="E5" s="3" t="inlineStr">
        <is>
          <t>线索数量</t>
        </is>
      </c>
      <c r="F5" s="3" t="inlineStr">
        <is>
          <t>有效线索</t>
        </is>
      </c>
    </row>
    <row r="6">
      <c r="A6" s="4" t="inlineStr">
        <is>
          <t>小红书</t>
        </is>
      </c>
      <c r="B6" s="4" t="inlineStr">
        <is>
          <t>W1</t>
        </is>
      </c>
      <c r="C6" s="4" t="inlineStr">
        <is>
          <t>07-01 ~ 07-07</t>
        </is>
      </c>
      <c r="D6" s="5" t="n">
        <v>32000</v>
      </c>
      <c r="E6" s="5" t="n">
        <v>210</v>
      </c>
      <c r="F6" s="5" t="n">
        <v>71</v>
      </c>
    </row>
    <row r="7">
      <c r="A7" s="4" t="inlineStr">
        <is>
          <t>小红书</t>
        </is>
      </c>
      <c r="B7" s="4" t="inlineStr">
        <is>
          <t>W2</t>
        </is>
      </c>
      <c r="C7" s="4" t="inlineStr">
        <is>
          <t>07-08 ~ 07-14</t>
        </is>
      </c>
      <c r="D7" s="5" t="n">
        <v>58000</v>
      </c>
      <c r="E7" s="5" t="n">
        <v>402</v>
      </c>
      <c r="F7" s="5" t="n">
        <v>137</v>
      </c>
    </row>
    <row r="8">
      <c r="A8" s="4" t="inlineStr">
        <is>
          <t>小红书</t>
        </is>
      </c>
      <c r="B8" s="4" t="inlineStr">
        <is>
          <t>W3</t>
        </is>
      </c>
      <c r="C8" s="4" t="inlineStr">
        <is>
          <t>07-15 ~ 07-21</t>
        </is>
      </c>
      <c r="D8" s="5" t="n">
        <v>49000</v>
      </c>
      <c r="E8" s="5" t="n">
        <v>348</v>
      </c>
      <c r="F8" s="5" t="n">
        <v>118</v>
      </c>
    </row>
    <row r="9">
      <c r="A9" s="4" t="inlineStr">
        <is>
          <t>小红书</t>
        </is>
      </c>
      <c r="B9" s="4" t="inlineStr">
        <is>
          <t>W4</t>
        </is>
      </c>
      <c r="C9" s="4" t="inlineStr">
        <is>
          <t>07-22 ~ 07-31</t>
        </is>
      </c>
      <c r="D9" s="5" t="n">
        <v>46000</v>
      </c>
      <c r="E9" s="5" t="n">
        <v>320</v>
      </c>
      <c r="F9" s="5" t="n">
        <v>110</v>
      </c>
    </row>
    <row r="10">
      <c r="A10" s="4" t="inlineStr">
        <is>
          <t>抖音</t>
        </is>
      </c>
      <c r="B10" s="4" t="inlineStr">
        <is>
          <t>W1</t>
        </is>
      </c>
      <c r="C10" s="4" t="inlineStr">
        <is>
          <t>07-01 ~ 07-07</t>
        </is>
      </c>
      <c r="D10" s="5" t="n">
        <v>48000</v>
      </c>
      <c r="E10" s="5" t="n">
        <v>280</v>
      </c>
      <c r="F10" s="5" t="n">
        <v>70</v>
      </c>
    </row>
    <row r="11">
      <c r="A11" s="4" t="inlineStr">
        <is>
          <t>抖音</t>
        </is>
      </c>
      <c r="B11" s="4" t="inlineStr">
        <is>
          <t>W2</t>
        </is>
      </c>
      <c r="C11" s="4" t="inlineStr">
        <is>
          <t>07-08 ~ 07-14</t>
        </is>
      </c>
      <c r="D11" s="5" t="n">
        <v>72000</v>
      </c>
      <c r="E11" s="5" t="n">
        <v>430</v>
      </c>
      <c r="F11" s="5" t="n">
        <v>108</v>
      </c>
    </row>
    <row r="12">
      <c r="A12" s="4" t="inlineStr">
        <is>
          <t>抖音</t>
        </is>
      </c>
      <c r="B12" s="4" t="inlineStr">
        <is>
          <t>W3</t>
        </is>
      </c>
      <c r="C12" s="4" t="inlineStr">
        <is>
          <t>07-15 ~ 07-21</t>
        </is>
      </c>
      <c r="D12" s="5" t="n">
        <v>78000</v>
      </c>
      <c r="E12" s="5" t="n">
        <v>460</v>
      </c>
      <c r="F12" s="5" t="n">
        <v>115</v>
      </c>
    </row>
    <row r="13">
      <c r="A13" s="4" t="inlineStr">
        <is>
          <t>抖音</t>
        </is>
      </c>
      <c r="B13" s="4" t="inlineStr">
        <is>
          <t>W4</t>
        </is>
      </c>
      <c r="C13" s="4" t="inlineStr">
        <is>
          <t>07-22 ~ 07-31</t>
        </is>
      </c>
      <c r="D13" s="5" t="n">
        <v>64000</v>
      </c>
      <c r="E13" s="5" t="n">
        <v>390</v>
      </c>
      <c r="F13" s="5" t="n">
        <v>97</v>
      </c>
    </row>
    <row r="14">
      <c r="A14" s="4" t="inlineStr">
        <is>
          <t>微信公众号</t>
        </is>
      </c>
      <c r="B14" s="4" t="inlineStr">
        <is>
          <t>W1</t>
        </is>
      </c>
      <c r="C14" s="4" t="inlineStr">
        <is>
          <t>07-01 ~ 07-07</t>
        </is>
      </c>
      <c r="D14" s="5" t="n">
        <v>12000</v>
      </c>
      <c r="E14" s="5" t="n">
        <v>130</v>
      </c>
      <c r="F14" s="5" t="n">
        <v>58</v>
      </c>
    </row>
    <row r="15">
      <c r="A15" s="4" t="inlineStr">
        <is>
          <t>微信公众号</t>
        </is>
      </c>
      <c r="B15" s="4" t="inlineStr">
        <is>
          <t>W2</t>
        </is>
      </c>
      <c r="C15" s="4" t="inlineStr">
        <is>
          <t>07-08 ~ 07-14</t>
        </is>
      </c>
      <c r="D15" s="5" t="n">
        <v>16000</v>
      </c>
      <c r="E15" s="5" t="n">
        <v>170</v>
      </c>
      <c r="F15" s="5" t="n">
        <v>77</v>
      </c>
    </row>
    <row r="16">
      <c r="A16" s="4" t="inlineStr">
        <is>
          <t>微信公众号</t>
        </is>
      </c>
      <c r="B16" s="4" t="inlineStr">
        <is>
          <t>W3</t>
        </is>
      </c>
      <c r="C16" s="4" t="inlineStr">
        <is>
          <t>07-15 ~ 07-21</t>
        </is>
      </c>
      <c r="D16" s="5" t="n">
        <v>15000</v>
      </c>
      <c r="E16" s="5" t="n">
        <v>160</v>
      </c>
      <c r="F16" s="5" t="n">
        <v>72</v>
      </c>
    </row>
    <row r="17">
      <c r="A17" s="4" t="inlineStr">
        <is>
          <t>微信公众号</t>
        </is>
      </c>
      <c r="B17" s="4" t="inlineStr">
        <is>
          <t>W4</t>
        </is>
      </c>
      <c r="C17" s="4" t="inlineStr">
        <is>
          <t>07-22 ~ 07-31</t>
        </is>
      </c>
      <c r="D17" s="5" t="n">
        <v>15000</v>
      </c>
      <c r="E17" s="5" t="n">
        <v>160</v>
      </c>
      <c r="F17" s="5" t="n">
        <v>72</v>
      </c>
    </row>
    <row r="18">
      <c r="A18" s="4" t="inlineStr">
        <is>
          <t>微信社群</t>
        </is>
      </c>
      <c r="B18" s="4" t="inlineStr">
        <is>
          <t>W1</t>
        </is>
      </c>
      <c r="C18" s="4" t="inlineStr">
        <is>
          <t>07-01 ~ 07-07</t>
        </is>
      </c>
      <c r="D18" s="5" t="n">
        <v>6000</v>
      </c>
      <c r="E18" s="5" t="n">
        <v>95</v>
      </c>
      <c r="F18" s="5" t="n">
        <v>57</v>
      </c>
    </row>
    <row r="19">
      <c r="A19" s="4" t="inlineStr">
        <is>
          <t>微信社群</t>
        </is>
      </c>
      <c r="B19" s="4" t="inlineStr">
        <is>
          <t>W2</t>
        </is>
      </c>
      <c r="C19" s="4" t="inlineStr">
        <is>
          <t>07-08 ~ 07-14</t>
        </is>
      </c>
      <c r="D19" s="5" t="n">
        <v>8000</v>
      </c>
      <c r="E19" s="5" t="n">
        <v>130</v>
      </c>
      <c r="F19" s="5" t="n">
        <v>78</v>
      </c>
    </row>
    <row r="20">
      <c r="A20" s="4" t="inlineStr">
        <is>
          <t>微信社群</t>
        </is>
      </c>
      <c r="B20" s="4" t="inlineStr">
        <is>
          <t>W3</t>
        </is>
      </c>
      <c r="C20" s="4" t="inlineStr">
        <is>
          <t>07-15 ~ 07-21</t>
        </is>
      </c>
      <c r="D20" s="5" t="n">
        <v>9000</v>
      </c>
      <c r="E20" s="5" t="n">
        <v>145</v>
      </c>
      <c r="F20" s="5" t="n">
        <v>87</v>
      </c>
    </row>
    <row r="21">
      <c r="A21" s="4" t="inlineStr">
        <is>
          <t>微信社群</t>
        </is>
      </c>
      <c r="B21" s="4" t="inlineStr">
        <is>
          <t>W4</t>
        </is>
      </c>
      <c r="C21" s="4" t="inlineStr">
        <is>
          <t>07-22 ~ 07-31</t>
        </is>
      </c>
      <c r="D21" s="5" t="n">
        <v>9000</v>
      </c>
      <c r="E21" s="5" t="n">
        <v>140</v>
      </c>
      <c r="F21" s="5" t="n">
        <v>84</v>
      </c>
    </row>
    <row r="22">
      <c r="A22" s="4" t="inlineStr">
        <is>
          <t>线下门店</t>
        </is>
      </c>
      <c r="B22" s="4" t="inlineStr">
        <is>
          <t>W1</t>
        </is>
      </c>
      <c r="C22" s="4" t="inlineStr">
        <is>
          <t>07-01 ~ 07-07</t>
        </is>
      </c>
      <c r="D22" s="5" t="n">
        <v>9000</v>
      </c>
      <c r="E22" s="5" t="n">
        <v>145</v>
      </c>
      <c r="F22" s="5" t="n">
        <v>65</v>
      </c>
    </row>
    <row r="23">
      <c r="A23" s="4" t="inlineStr">
        <is>
          <t>线下门店</t>
        </is>
      </c>
      <c r="B23" s="4" t="inlineStr">
        <is>
          <t>W2</t>
        </is>
      </c>
      <c r="C23" s="4" t="inlineStr">
        <is>
          <t>07-08 ~ 07-14</t>
        </is>
      </c>
      <c r="D23" s="5" t="n">
        <v>14000</v>
      </c>
      <c r="E23" s="5" t="n">
        <v>225</v>
      </c>
      <c r="F23" s="5" t="n">
        <v>101</v>
      </c>
    </row>
    <row r="24">
      <c r="A24" s="4" t="inlineStr">
        <is>
          <t>线下门店</t>
        </is>
      </c>
      <c r="B24" s="4" t="inlineStr">
        <is>
          <t>W3</t>
        </is>
      </c>
      <c r="C24" s="4" t="inlineStr">
        <is>
          <t>07-15 ~ 07-21</t>
        </is>
      </c>
      <c r="D24" s="5" t="n">
        <v>12000</v>
      </c>
      <c r="E24" s="5" t="n">
        <v>195</v>
      </c>
      <c r="F24" s="5" t="n">
        <v>88</v>
      </c>
    </row>
    <row r="25">
      <c r="A25" s="4" t="inlineStr">
        <is>
          <t>线下门店</t>
        </is>
      </c>
      <c r="B25" s="4" t="inlineStr">
        <is>
          <t>W4</t>
        </is>
      </c>
      <c r="C25" s="4" t="inlineStr">
        <is>
          <t>07-22 ~ 07-31</t>
        </is>
      </c>
      <c r="D25" s="5" t="n">
        <v>11000</v>
      </c>
      <c r="E25" s="5" t="n">
        <v>175</v>
      </c>
      <c r="F25" s="5" t="n">
        <v>79</v>
      </c>
    </row>
    <row r="27">
      <c r="A27" s="6" t="inlineStr">
        <is>
          <t>全渠道合计</t>
        </is>
      </c>
      <c r="D27" s="7">
        <f>SUM(D6:D25)</f>
        <v/>
      </c>
      <c r="E27" s="7">
        <f>SUM(E6:E25)</f>
        <v/>
      </c>
      <c r="F27" s="7">
        <f>SUM(F6:F25)</f>
        <v/>
      </c>
    </row>
  </sheetData>
  <mergeCells count="4">
    <mergeCell ref="A3:F3"/>
    <mergeCell ref="A2:F2"/>
    <mergeCell ref="A27:C2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2" customWidth="1" min="5" max="5"/>
    <col width="14" customWidth="1" min="6" max="6"/>
    <col width="15" customWidth="1" min="7" max="7"/>
  </cols>
  <sheetData>
    <row r="1" ht="30" customHeight="1">
      <c r="A1" s="1" t="inlineStr">
        <is>
          <t>青屿茶研 市场部 · 2026年7月 渠道汇总</t>
        </is>
      </c>
    </row>
    <row r="2" ht="18" customHeight="1">
      <c r="A2" s="2" t="inlineStr">
        <is>
          <t>统计周期：2026年7月1日 至 2026年7月31日　｜　转化率 = 有效线索数量 ÷ 线索数量 × 100%</t>
        </is>
      </c>
    </row>
    <row r="3" ht="18" customHeight="1">
      <c r="A3" s="2" t="inlineStr">
        <is>
          <t>本表所有数值均由「周度明细」工作表通过 SUMIF 公式计算得出，未手工填写。</t>
        </is>
      </c>
    </row>
    <row r="5" ht="26" customHeight="1">
      <c r="A5" s="3" t="inlineStr">
        <is>
          <t>渠道</t>
        </is>
      </c>
      <c r="B5" s="3" t="inlineStr">
        <is>
          <t>曝光量</t>
        </is>
      </c>
      <c r="C5" s="3" t="inlineStr">
        <is>
          <t>线索数量</t>
        </is>
      </c>
      <c r="D5" s="3" t="inlineStr">
        <is>
          <t>有效线索</t>
        </is>
      </c>
      <c r="E5" s="3" t="inlineStr">
        <is>
          <t>转化率</t>
        </is>
      </c>
      <c r="F5" s="3" t="inlineStr">
        <is>
          <t>曝光量占比</t>
        </is>
      </c>
      <c r="G5" s="3" t="inlineStr">
        <is>
          <t>有效线索占比</t>
        </is>
      </c>
    </row>
    <row r="6">
      <c r="A6" s="4" t="inlineStr">
        <is>
          <t>小红书</t>
        </is>
      </c>
      <c r="B6" s="5">
        <f>SUMIF(周度明细!$A$6:$A$25,$A6,周度明细!$D$6:$D$25)</f>
        <v/>
      </c>
      <c r="C6" s="5">
        <f>SUMIF(周度明细!$A$6:$A$25,$A6,周度明细!$E$6:$E$25)</f>
        <v/>
      </c>
      <c r="D6" s="5">
        <f>SUMIF(周度明细!$A$6:$A$25,$A6,周度明细!$F$6:$F$25)</f>
        <v/>
      </c>
      <c r="E6" s="8">
        <f>D6/C6</f>
        <v/>
      </c>
      <c r="F6" s="8">
        <f>B6/$B$11</f>
        <v/>
      </c>
      <c r="G6" s="8">
        <f>D6/$D$11</f>
        <v/>
      </c>
    </row>
    <row r="7">
      <c r="A7" s="4" t="inlineStr">
        <is>
          <t>抖音</t>
        </is>
      </c>
      <c r="B7" s="5">
        <f>SUMIF(周度明细!$A$6:$A$25,$A7,周度明细!$D$6:$D$25)</f>
        <v/>
      </c>
      <c r="C7" s="5">
        <f>SUMIF(周度明细!$A$6:$A$25,$A7,周度明细!$E$6:$E$25)</f>
        <v/>
      </c>
      <c r="D7" s="5">
        <f>SUMIF(周度明细!$A$6:$A$25,$A7,周度明细!$F$6:$F$25)</f>
        <v/>
      </c>
      <c r="E7" s="8">
        <f>D7/C7</f>
        <v/>
      </c>
      <c r="F7" s="8">
        <f>B7/$B$11</f>
        <v/>
      </c>
      <c r="G7" s="8">
        <f>D7/$D$11</f>
        <v/>
      </c>
    </row>
    <row r="8">
      <c r="A8" s="4" t="inlineStr">
        <is>
          <t>微信公众号</t>
        </is>
      </c>
      <c r="B8" s="5">
        <f>SUMIF(周度明细!$A$6:$A$25,$A8,周度明细!$D$6:$D$25)</f>
        <v/>
      </c>
      <c r="C8" s="5">
        <f>SUMIF(周度明细!$A$6:$A$25,$A8,周度明细!$E$6:$E$25)</f>
        <v/>
      </c>
      <c r="D8" s="5">
        <f>SUMIF(周度明细!$A$6:$A$25,$A8,周度明细!$F$6:$F$25)</f>
        <v/>
      </c>
      <c r="E8" s="8">
        <f>D8/C8</f>
        <v/>
      </c>
      <c r="F8" s="8">
        <f>B8/$B$11</f>
        <v/>
      </c>
      <c r="G8" s="8">
        <f>D8/$D$11</f>
        <v/>
      </c>
    </row>
    <row r="9">
      <c r="A9" s="4" t="inlineStr">
        <is>
          <t>微信社群</t>
        </is>
      </c>
      <c r="B9" s="5">
        <f>SUMIF(周度明细!$A$6:$A$25,$A9,周度明细!$D$6:$D$25)</f>
        <v/>
      </c>
      <c r="C9" s="5">
        <f>SUMIF(周度明细!$A$6:$A$25,$A9,周度明细!$E$6:$E$25)</f>
        <v/>
      </c>
      <c r="D9" s="5">
        <f>SUMIF(周度明细!$A$6:$A$25,$A9,周度明细!$F$6:$F$25)</f>
        <v/>
      </c>
      <c r="E9" s="8">
        <f>D9/C9</f>
        <v/>
      </c>
      <c r="F9" s="8">
        <f>B9/$B$11</f>
        <v/>
      </c>
      <c r="G9" s="8">
        <f>D9/$D$11</f>
        <v/>
      </c>
    </row>
    <row r="10">
      <c r="A10" s="4" t="inlineStr">
        <is>
          <t>线下门店</t>
        </is>
      </c>
      <c r="B10" s="5">
        <f>SUMIF(周度明细!$A$6:$A$25,$A10,周度明细!$D$6:$D$25)</f>
        <v/>
      </c>
      <c r="C10" s="5">
        <f>SUMIF(周度明细!$A$6:$A$25,$A10,周度明细!$E$6:$E$25)</f>
        <v/>
      </c>
      <c r="D10" s="5">
        <f>SUMIF(周度明细!$A$6:$A$25,$A10,周度明细!$F$6:$F$25)</f>
        <v/>
      </c>
      <c r="E10" s="8">
        <f>D10/C10</f>
        <v/>
      </c>
      <c r="F10" s="8">
        <f>B10/$B$11</f>
        <v/>
      </c>
      <c r="G10" s="8">
        <f>D10/$D$11</f>
        <v/>
      </c>
    </row>
    <row r="11">
      <c r="A11" s="6" t="inlineStr">
        <is>
          <t>合计</t>
        </is>
      </c>
      <c r="B11" s="7">
        <f>SUM(B6:B10)</f>
        <v/>
      </c>
      <c r="C11" s="7">
        <f>SUM(C6:C10)</f>
        <v/>
      </c>
      <c r="D11" s="7">
        <f>SUM(D6:D10)</f>
        <v/>
      </c>
      <c r="E11" s="9">
        <f>D11/C11</f>
        <v/>
      </c>
      <c r="F11" s="10" t="inlineStr">
        <is>
          <t>100.0%</t>
        </is>
      </c>
      <c r="G11" s="10" t="inlineStr">
        <is>
          <t>100.0%</t>
        </is>
      </c>
    </row>
    <row r="13" ht="20" customHeight="1">
      <c r="A13" s="11" t="inlineStr">
        <is>
          <t>⚠️ 注意：整体转化率 = 有效线索合计 ÷ 线索合计，不是五个渠道转化率的算术平均值。两者结果不同。</t>
        </is>
      </c>
    </row>
    <row r="14">
      <c r="A14" s="2" t="inlineStr">
        <is>
          <t xml:space="preserve">　　正确算法：=D11/C11　　　错误算法：=AVERAGE(E6:E10)　（两者相差约 4.8 个百分点）</t>
        </is>
      </c>
    </row>
  </sheetData>
  <mergeCells count="5">
    <mergeCell ref="A13:G13"/>
    <mergeCell ref="A14:G14"/>
    <mergeCell ref="A1:G1"/>
    <mergeCell ref="A3:G3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8" customWidth="1" min="3" max="3"/>
    <col width="56" customWidth="1" min="4" max="4"/>
  </cols>
  <sheetData>
    <row r="1" ht="30" customHeight="1">
      <c r="A1" s="1" t="inlineStr">
        <is>
          <t>数据字典与计算口径</t>
        </is>
      </c>
    </row>
    <row r="3" ht="26" customHeight="1">
      <c r="A3" s="3" t="inlineStr">
        <is>
          <t>字段</t>
        </is>
      </c>
      <c r="B3" s="3" t="inlineStr">
        <is>
          <t>定义</t>
        </is>
      </c>
      <c r="C3" s="3" t="inlineStr">
        <is>
          <t>单位</t>
        </is>
      </c>
      <c r="D3" s="3" t="inlineStr">
        <is>
          <t>来源 / 计算方式</t>
        </is>
      </c>
    </row>
    <row r="4" ht="30" customHeight="1">
      <c r="A4" s="12" t="inlineStr">
        <is>
          <t>渠道</t>
        </is>
      </c>
      <c r="B4" s="13" t="inlineStr">
        <is>
          <t>本月投放或运营的对外触点</t>
        </is>
      </c>
      <c r="C4" s="4" t="inlineStr">
        <is>
          <t>—</t>
        </is>
      </c>
      <c r="D4" s="13" t="inlineStr">
        <is>
          <t>固定 5 个：小红书、抖音、微信公众号、微信社群、线下门店</t>
        </is>
      </c>
    </row>
    <row r="5" ht="30" customHeight="1">
      <c r="A5" s="12" t="inlineStr">
        <is>
          <t>统计周</t>
        </is>
      </c>
      <c r="B5" s="13" t="inlineStr">
        <is>
          <t>自然周划分，W4 含 7/29–7/31 共 10 天</t>
        </is>
      </c>
      <c r="C5" s="4" t="inlineStr">
        <is>
          <t>—</t>
        </is>
      </c>
      <c r="D5" s="13" t="inlineStr">
        <is>
          <t>W1 07-01~07-07；W2 07-08~07-14；W3 07-15~07-21；W4 07-22~07-31</t>
        </is>
      </c>
    </row>
    <row r="6" ht="30" customHeight="1">
      <c r="A6" s="12" t="inlineStr">
        <is>
          <t>曝光量</t>
        </is>
      </c>
      <c r="B6" s="13" t="inlineStr">
        <is>
          <t>内容被展示的次数（去重前）</t>
        </is>
      </c>
      <c r="C6" s="4" t="inlineStr">
        <is>
          <t>次</t>
        </is>
      </c>
      <c r="D6" s="13" t="inlineStr">
        <is>
          <t>各渠道后台导出</t>
        </is>
      </c>
    </row>
    <row r="7" ht="30" customHeight="1">
      <c r="A7" s="12" t="inlineStr">
        <is>
          <t>线索数量</t>
        </is>
      </c>
      <c r="B7" s="13" t="inlineStr">
        <is>
          <t>留下联系方式或完成互动动作的用户数</t>
        </is>
      </c>
      <c r="C7" s="4" t="inlineStr">
        <is>
          <t>条</t>
        </is>
      </c>
      <c r="D7" s="13" t="inlineStr">
        <is>
          <t>各渠道后台导出</t>
        </is>
      </c>
    </row>
    <row r="8" ht="30" customHeight="1">
      <c r="A8" s="12" t="inlineStr">
        <is>
          <t>有效线索</t>
        </is>
      </c>
      <c r="B8" s="13" t="inlineStr">
        <is>
          <t>经人工初筛，符合目标客群且联系方式可用的线索</t>
        </is>
      </c>
      <c r="C8" s="4" t="inlineStr">
        <is>
          <t>条</t>
        </is>
      </c>
      <c r="D8" s="13" t="inlineStr">
        <is>
          <t>人工筛选后统计</t>
        </is>
      </c>
    </row>
    <row r="9" ht="30" customHeight="1">
      <c r="A9" s="12" t="inlineStr">
        <is>
          <t>转化率</t>
        </is>
      </c>
      <c r="B9" s="13" t="inlineStr">
        <is>
          <t>有效线索占全部线索的比例</t>
        </is>
      </c>
      <c r="C9" s="4" t="inlineStr">
        <is>
          <t>%</t>
        </is>
      </c>
      <c r="D9" s="13" t="inlineStr">
        <is>
          <t>有效线索数量 ÷ 线索数量 × 100%</t>
        </is>
      </c>
    </row>
    <row r="10" ht="30" customHeight="1">
      <c r="A10" s="12" t="inlineStr">
        <is>
          <t>整体转化率</t>
        </is>
      </c>
      <c r="B10" s="13" t="inlineStr">
        <is>
          <t>全渠道汇总口径的转化率</t>
        </is>
      </c>
      <c r="C10" s="4" t="inlineStr">
        <is>
          <t>%</t>
        </is>
      </c>
      <c r="D10" s="13" t="inlineStr">
        <is>
          <t>有效线索合计 ÷ 线索合计 × 100%（非各渠道转化率的平均值）</t>
        </is>
      </c>
    </row>
    <row r="11" ht="30" customHeight="1">
      <c r="A11" s="12" t="inlineStr">
        <is>
          <t>曝光量占比</t>
        </is>
      </c>
      <c r="B11" s="13" t="inlineStr">
        <is>
          <t>单渠道曝光量占全渠道曝光量的比例</t>
        </is>
      </c>
      <c r="C11" s="4" t="inlineStr">
        <is>
          <t>%</t>
        </is>
      </c>
      <c r="D11" s="13" t="inlineStr">
        <is>
          <t>单渠道曝光量 ÷ 全渠道曝光量合计</t>
        </is>
      </c>
    </row>
    <row r="12" ht="30" customHeight="1">
      <c r="A12" s="12" t="inlineStr">
        <is>
          <t>有效线索占比</t>
        </is>
      </c>
      <c r="B12" s="13" t="inlineStr">
        <is>
          <t>单渠道有效线索占全渠道有效线索的比例</t>
        </is>
      </c>
      <c r="C12" s="4" t="inlineStr">
        <is>
          <t>%</t>
        </is>
      </c>
      <c r="D12" s="13" t="inlineStr">
        <is>
          <t>单渠道有效线索 ÷ 全渠道有效线索合计</t>
        </is>
      </c>
    </row>
    <row r="14">
      <c r="A14" s="11" t="inlineStr">
        <is>
          <t>本表不含预算、成本、客单价、销售额、用户画像数据。任何涉及上述内容的分析结论均无数据支撑。</t>
        </is>
      </c>
    </row>
  </sheetData>
  <mergeCells count="2">
    <mergeCell ref="A1:D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WorkBuddy Training Project</dc:creator>
  <dc:title xmlns:dc="http://purl.org/dc/elements/1.1/"/>
  <dc:description xmlns:dc="http://purl.org/dc/elements/1.1/">本项目中的品牌、人员、部门、活动、数据和文件均为虚构，仅用于教学演示，与任何真实企业无关。</dc:description>
  <dc:subject xmlns:dc="http://purl.org/dc/elements/1.1/">WorkBuddy 零基础教学项目 · 虚构演示数据</dc:subject>
  <dcterms:created xmlns:dcterms="http://purl.org/dc/terms/" xmlns:xsi="http://www.w3.org/2001/XMLSchema-instance" xsi:type="dcterms:W3CDTF">2026-08-04T09:40:35Z</dcterms:created>
  <dcterms:modified xmlns:dcterms="http://purl.org/dc/terms/" xmlns:xsi="http://www.w3.org/2001/XMLSchema-instance" xsi:type="dcterms:W3CDTF">2026-08-04T09:40:35Z</dcterms:modified>
  <cp:lastModifiedBy>WorkBuddy Training Project</cp:lastModifiedBy>
  <cp:category>Training Material</cp:category>
  <cp:revision>1</cp:revision>
  <cp:keywords>教学演示;虚构数据;WorkBuddy Training</cp:keywords>
</cp:coreProperties>
</file>