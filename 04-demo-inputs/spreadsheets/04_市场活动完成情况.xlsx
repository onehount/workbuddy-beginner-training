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活动完成情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color rgb="00666666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C0392B"/>
      <sz val="10"/>
    </font>
    <font>
      <name val="微软雅黑"/>
      <b val="1"/>
      <sz val="10"/>
    </font>
  </fonts>
  <fills count="6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2E6BE6"/>
      </patternFill>
    </fill>
    <fill>
      <patternFill patternType="solid">
        <fgColor rgb="00EAF1FD"/>
      </patternFill>
    </fill>
    <fill>
      <patternFill patternType="solid">
        <fgColor rgb="00FFE9CC"/>
      </patternFill>
    </fill>
  </fills>
  <borders count="2">
    <border>
      <left/>
      <right/>
      <top/>
      <bottom/>
      <diagonal/>
    </border>
    <border>
      <left style="thin">
        <color rgb="00C9D4E8"/>
      </left>
      <right style="thin">
        <color rgb="00C9D4E8"/>
      </right>
      <top style="thin">
        <color rgb="00C9D4E8"/>
      </top>
      <bottom style="thin">
        <color rgb="00C9D4E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6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3" customWidth="1" min="3" max="3"/>
    <col width="13" customWidth="1" min="4" max="4"/>
    <col width="13" customWidth="1" min="5" max="5"/>
    <col width="9" customWidth="1" min="6" max="6"/>
    <col width="11" customWidth="1" min="7" max="7"/>
    <col width="11" customWidth="1" min="8" max="8"/>
    <col width="44" customWidth="1" min="9" max="9"/>
  </cols>
  <sheetData>
    <row r="1" ht="30" customHeight="1">
      <c r="A1" s="1" t="inlineStr">
        <is>
          <t>青屿茶研 市场部 · 2026年7月 市场活动完成情况</t>
        </is>
      </c>
    </row>
    <row r="2" ht="18" customHeight="1">
      <c r="A2" s="2" t="inlineStr">
        <is>
          <t>统计周期：2026年7月1日 至 2026年7月31日</t>
        </is>
      </c>
    </row>
    <row r="3" ht="18" customHeight="1">
      <c r="A3" s="2" t="inlineStr">
        <is>
          <t>⚠️ 本项目中的品牌、人员、部门、活动、数据和文件均为虚构，仅用于教学演示，与任何真实企业无关。</t>
        </is>
      </c>
    </row>
    <row r="5" ht="26" customHeight="1">
      <c r="A5" s="3" t="inlineStr">
        <is>
          <t>序号</t>
        </is>
      </c>
      <c r="B5" s="3" t="inlineStr">
        <is>
          <t>活动名称</t>
        </is>
      </c>
      <c r="C5" s="3" t="inlineStr">
        <is>
          <t>开始日期</t>
        </is>
      </c>
      <c r="D5" s="3" t="inlineStr">
        <is>
          <t>实际结束</t>
        </is>
      </c>
      <c r="E5" s="3" t="inlineStr">
        <is>
          <t>计划结束</t>
        </is>
      </c>
      <c r="F5" s="3" t="inlineStr">
        <is>
          <t>状态</t>
        </is>
      </c>
      <c r="G5" s="3" t="inlineStr">
        <is>
          <t>负责人</t>
        </is>
      </c>
      <c r="H5" s="3" t="inlineStr">
        <is>
          <t>协同</t>
        </is>
      </c>
      <c r="I5" s="3" t="inlineStr">
        <is>
          <t>说明</t>
        </is>
      </c>
    </row>
    <row r="6" ht="30" customHeight="1">
      <c r="A6" s="4" t="n">
        <v>1</v>
      </c>
      <c r="B6" s="4" t="inlineStr">
        <is>
          <t>夏日新品试饮活动</t>
        </is>
      </c>
      <c r="C6" s="4" t="inlineStr">
        <is>
          <t>2026-07-05</t>
        </is>
      </c>
      <c r="D6" s="4" t="inlineStr">
        <is>
          <t>2026-07-12</t>
        </is>
      </c>
      <c r="E6" s="4" t="inlineStr">
        <is>
          <t>2026-07-12</t>
        </is>
      </c>
      <c r="F6" s="4" t="inlineStr">
        <is>
          <t>已完成</t>
        </is>
      </c>
      <c r="G6" s="4" t="inlineStr">
        <is>
          <t>苏眠</t>
        </is>
      </c>
      <c r="H6" s="4" t="inlineStr">
        <is>
          <t>陈屿</t>
        </is>
      </c>
      <c r="I6" s="5" t="inlineStr">
        <is>
          <t>覆盖 12 家直营门店，新品「青梅乌龙」「桂香冷萃」现场试饮</t>
        </is>
      </c>
    </row>
    <row r="7" ht="30" customHeight="1">
      <c r="A7" s="4" t="n">
        <v>2</v>
      </c>
      <c r="B7" s="4" t="inlineStr">
        <is>
          <t>小红书达人种草活动</t>
        </is>
      </c>
      <c r="C7" s="4" t="inlineStr">
        <is>
          <t>2026-07-08</t>
        </is>
      </c>
      <c r="D7" s="4" t="inlineStr">
        <is>
          <t>2026-07-25</t>
        </is>
      </c>
      <c r="E7" s="4" t="inlineStr">
        <is>
          <t>2026-07-25</t>
        </is>
      </c>
      <c r="F7" s="4" t="inlineStr">
        <is>
          <t>已完成</t>
        </is>
      </c>
      <c r="G7" s="4" t="inlineStr">
        <is>
          <t>周然</t>
        </is>
      </c>
      <c r="H7" s="4" t="inlineStr">
        <is>
          <t>李维</t>
        </is>
      </c>
      <c r="I7" s="5" t="inlineStr">
        <is>
          <t>合作达人 18 位，产出笔记 24 篇</t>
        </is>
      </c>
    </row>
    <row r="8" ht="30" customHeight="1">
      <c r="A8" s="4" t="n">
        <v>3</v>
      </c>
      <c r="B8" s="4" t="inlineStr">
        <is>
          <t>微信社群优惠活动</t>
        </is>
      </c>
      <c r="C8" s="4" t="inlineStr">
        <is>
          <t>2026-07-10</t>
        </is>
      </c>
      <c r="D8" s="4" t="inlineStr">
        <is>
          <t>2026-07-31</t>
        </is>
      </c>
      <c r="E8" s="4" t="inlineStr">
        <is>
          <t>2026-07-31</t>
        </is>
      </c>
      <c r="F8" s="4" t="inlineStr">
        <is>
          <t>已完成</t>
        </is>
      </c>
      <c r="G8" s="4" t="inlineStr">
        <is>
          <t>苏眠</t>
        </is>
      </c>
      <c r="H8" s="4" t="inlineStr">
        <is>
          <t>李维</t>
        </is>
      </c>
      <c r="I8" s="5" t="inlineStr">
        <is>
          <t>覆盖 26 个门店社群，限时第二杯半价</t>
        </is>
      </c>
    </row>
    <row r="9" ht="30" customHeight="1">
      <c r="A9" s="4" t="n">
        <v>4</v>
      </c>
      <c r="B9" s="4" t="inlineStr">
        <is>
          <t>商场快闪活动</t>
        </is>
      </c>
      <c r="C9" s="4" t="inlineStr">
        <is>
          <t>2026-07-18</t>
        </is>
      </c>
      <c r="D9" s="4" t="inlineStr">
        <is>
          <t>2026-07-20</t>
        </is>
      </c>
      <c r="E9" s="4" t="inlineStr">
        <is>
          <t>2026-07-20</t>
        </is>
      </c>
      <c r="F9" s="4" t="inlineStr">
        <is>
          <t>已完成</t>
        </is>
      </c>
      <c r="G9" s="4" t="inlineStr">
        <is>
          <t>陈屿</t>
        </is>
      </c>
      <c r="H9" s="4" t="inlineStr">
        <is>
          <t>周然</t>
        </is>
      </c>
      <c r="I9" s="5" t="inlineStr">
        <is>
          <t>3 个核心商圈快闪，同步抖音本地推流</t>
        </is>
      </c>
    </row>
    <row r="10" ht="30" customHeight="1">
      <c r="A10" s="4" t="n">
        <v>5</v>
      </c>
      <c r="B10" s="4" t="inlineStr">
        <is>
          <t>校园联名活动</t>
        </is>
      </c>
      <c r="C10" s="4" t="inlineStr">
        <is>
          <t>2026-07-22</t>
        </is>
      </c>
      <c r="D10" s="4" t="inlineStr">
        <is>
          <t>—</t>
        </is>
      </c>
      <c r="E10" s="4" t="inlineStr">
        <is>
          <t>2026-07-31</t>
        </is>
      </c>
      <c r="F10" s="6" t="inlineStr">
        <is>
          <t>延期</t>
        </is>
      </c>
      <c r="G10" s="4" t="inlineStr">
        <is>
          <t>苏眠</t>
        </is>
      </c>
      <c r="H10" s="4" t="inlineStr">
        <is>
          <t>陈屿</t>
        </is>
      </c>
      <c r="I10" s="5" t="inlineStr">
        <is>
          <t>与 2 所高校社团联名，因合作方 Logo 使用规范确认延迟，顺延执行</t>
        </is>
      </c>
    </row>
    <row r="12">
      <c r="A12" s="3" t="inlineStr">
        <is>
          <t>汇总指标</t>
        </is>
      </c>
      <c r="C12" s="3" t="inlineStr">
        <is>
          <t>计算值</t>
        </is>
      </c>
      <c r="D12" s="3" t="inlineStr">
        <is>
          <t>计算公式（点击单元格可查看）</t>
        </is>
      </c>
    </row>
    <row r="13">
      <c r="A13" s="7" t="inlineStr">
        <is>
          <t>市场活动数量</t>
        </is>
      </c>
      <c r="C13" s="8">
        <f>COUNTA(B6:B10)</f>
        <v/>
      </c>
      <c r="D13" s="9" t="inlineStr">
        <is>
          <t>COUNTA(活动名称列)</t>
        </is>
      </c>
    </row>
    <row r="14">
      <c r="A14" s="7" t="inlineStr">
        <is>
          <t>已完成活动数量</t>
        </is>
      </c>
      <c r="C14" s="8">
        <f>COUNTIF(F6:F10,"已完成")</f>
        <v/>
      </c>
      <c r="D14" s="9" t="inlineStr">
        <is>
          <t>COUNTIF(状态列,"已完成")</t>
        </is>
      </c>
    </row>
    <row r="15">
      <c r="A15" s="7" t="inlineStr">
        <is>
          <t>延期活动数量</t>
        </is>
      </c>
      <c r="C15" s="8">
        <f>COUNTIF(F6:F10,"延期")</f>
        <v/>
      </c>
      <c r="D15" s="9" t="inlineStr">
        <is>
          <t>COUNTIF(状态列,"延期")</t>
        </is>
      </c>
    </row>
    <row r="16">
      <c r="A16" s="7" t="inlineStr">
        <is>
          <t>活动完成率</t>
        </is>
      </c>
      <c r="C16" s="10">
        <f>COUNTIF(F6:F10,"已完成")/COUNTA(B6:B10)</f>
        <v/>
      </c>
      <c r="D16" s="9" t="inlineStr">
        <is>
          <t>已完成数量 ÷ 活动总数</t>
        </is>
      </c>
    </row>
  </sheetData>
  <mergeCells count="13">
    <mergeCell ref="A16:B16"/>
    <mergeCell ref="A2:I2"/>
    <mergeCell ref="A15:B15"/>
    <mergeCell ref="D15:I15"/>
    <mergeCell ref="D13:I13"/>
    <mergeCell ref="D14:I14"/>
    <mergeCell ref="A1:I1"/>
    <mergeCell ref="A13:B13"/>
    <mergeCell ref="A14:B14"/>
    <mergeCell ref="D12:I12"/>
    <mergeCell ref="A3:I3"/>
    <mergeCell ref="D16:I16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WorkBuddy Training Project</dc:creator>
  <dc:title xmlns:dc="http://purl.org/dc/elements/1.1/"/>
  <dc:description xmlns:dc="http://purl.org/dc/elements/1.1/">本项目中的品牌、人员、部门、活动、数据和文件均为虚构，仅用于教学演示，与任何真实企业无关。</dc:description>
  <dc:subject xmlns:dc="http://purl.org/dc/elements/1.1/">WorkBuddy 零基础教学项目 · 虚构演示数据</dc:subject>
  <dcterms:created xmlns:dcterms="http://purl.org/dc/terms/" xmlns:xsi="http://www.w3.org/2001/XMLSchema-instance" xsi:type="dcterms:W3CDTF">2026-08-04T09:40:35Z</dcterms:created>
  <dcterms:modified xmlns:dcterms="http://purl.org/dc/terms/" xmlns:xsi="http://www.w3.org/2001/XMLSchema-instance" xsi:type="dcterms:W3CDTF">2026-08-04T09:40:35Z</dcterms:modified>
  <cp:lastModifiedBy>WorkBuddy Training Project</cp:lastModifiedBy>
  <cp:category>Training Material</cp:category>
  <cp:revision>1</cp:revision>
  <cp:keywords>教学演示;虚构数据;WorkBuddy Training</cp:keywords>
</cp:coreProperties>
</file>